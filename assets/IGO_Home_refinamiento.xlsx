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ambios" sheetId="2" state="visible" r:id="rId4"/>
    <sheet name="Longitud Home" sheetId="3" state="visible" r:id="rId5"/>
    <sheet name="Secciones" sheetId="4" state="visible" r:id="rId6"/>
    <sheet name="Composición" sheetId="5" state="visible" r:id="rId7"/>
    <sheet name="Pendien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<sst xmlns="http://schemas.openxmlformats.org/spreadsheetml/2006/main" count="103" uniqueCount="91">
  <si>
    <t xml:space="preserve">IGO Home — refinamiento estructural (12-10-2026)</t>
  </si>
  <si>
    <t xml:space="preserve">Objetivo</t>
  </si>
  <si>
    <t xml:space="preserve">Mejorar composición y estructura de las bandas Vision, Wellness, Technology y Philosophy sin tocar hero, header, footer, navegación, rutas ni identidad visual.</t>
  </si>
  <si>
    <t xml:space="preserve">Estado</t>
  </si>
  <si>
    <t xml:space="preserve">Aplicado en Web_IGO tras autorización explícita ("sí, hazlo").</t>
  </si>
  <si>
    <t xml:space="preserve">Verificación</t>
  </si>
  <si>
    <t xml:space="preserve">Render en Chromium (Playwright, Linux) a 360, 390, 768, 959, 960, 1280, 1440 y 1920 px. Animaciones activas: 20/20 elementos visibles, sin errores de consola ni desbordes. No probado en Safari ni dispositivos reales.</t>
  </si>
  <si>
    <t xml:space="preserve">Código de color</t>
  </si>
  <si>
    <t xml:space="preserve">Azul = dato medido/introducido; negro = fórmula.</t>
  </si>
  <si>
    <t xml:space="preserve">Hojas</t>
  </si>
  <si>
    <t xml:space="preserve">Cambios · Longitud Home · Secciones · Composición · Pendientes</t>
  </si>
  <si>
    <t xml:space="preserve">Archivo</t>
  </si>
  <si>
    <t xml:space="preserve">Acción</t>
  </si>
  <si>
    <t xml:space="preserve">Detalle</t>
  </si>
  <si>
    <t xml:space="preserve">Alcance</t>
  </si>
  <si>
    <t xml:space="preserve">assets/home.css</t>
  </si>
  <si>
    <t xml:space="preserve">Creado</t>
  </si>
  <si>
    <t xml:space="preserve">Estilos solo de la Home; usa tokens de igo.css; sin colores nuevos y sin !important.</t>
  </si>
  <si>
    <t xml:space="preserve">Solo Home</t>
  </si>
  <si>
    <t xml:space="preserve">index.html</t>
  </si>
  <si>
    <t xml:space="preserve">Modificado</t>
  </si>
  <si>
    <t xml:space="preserve">Interior de las secciones 2–5 dentro de &lt;main&gt; + una línea &lt;link&gt; a home.css en el &lt;head&gt;.</t>
  </si>
  <si>
    <t xml:space="preserve">assets/igo.css, igo.js, igo-pages.css</t>
  </si>
  <si>
    <t xml:space="preserve">Sin cambios</t>
  </si>
  <si>
    <t xml:space="preserve">Componentes compartidos: no se editan; se sobrescriben desde home.css con clases propias.</t>
  </si>
  <si>
    <t xml:space="preserve">—</t>
  </si>
  <si>
    <t xml:space="preserve">Hero, header, footer, nav, rutas, CTA</t>
  </si>
  <si>
    <t xml:space="preserve">Los cambios de nav de Grok se respetan; los CTA siguen apuntando a donde apuntaban.</t>
  </si>
  <si>
    <t xml:space="preserve">Páginas interiores</t>
  </si>
  <si>
    <t xml:space="preserve">No creadas ni modificadas.</t>
  </si>
  <si>
    <t xml:space="preserve">Ancho (px)</t>
  </si>
  <si>
    <t xml:space="preserve">Alto viewport (px)</t>
  </si>
  <si>
    <t xml:space="preserve">Antes (px)</t>
  </si>
  <si>
    <t xml:space="preserve">Ahora (px)</t>
  </si>
  <si>
    <t xml:space="preserve">Ahorro (px)</t>
  </si>
  <si>
    <t xml:space="preserve">Ahorro (%)</t>
  </si>
  <si>
    <t xml:space="preserve">Antes (pantallas)</t>
  </si>
  <si>
    <t xml:space="preserve">Ahora (pantallas)</t>
  </si>
  <si>
    <t xml:space="preserve">Media del ahorro (%)</t>
  </si>
  <si>
    <t xml:space="preserve">Nota: altura total de la página (scrollHeight) medida en Chromium con movimiento reducido. "Antes" = Home previa al refinamiento; "Ahora" = tras los ajustes finales de home.css.</t>
  </si>
  <si>
    <t xml:space="preserve">Sección</t>
  </si>
  <si>
    <t xml:space="preserve">1280 px · antes</t>
  </si>
  <si>
    <t xml:space="preserve">1280 px · ahora</t>
  </si>
  <si>
    <t xml:space="preserve">Δ 1280 (px)</t>
  </si>
  <si>
    <t xml:space="preserve">390 px · antes</t>
  </si>
  <si>
    <t xml:space="preserve">390 px · ahora</t>
  </si>
  <si>
    <t xml:space="preserve">Δ 390 (px)</t>
  </si>
  <si>
    <t xml:space="preserve">Vision</t>
  </si>
  <si>
    <t xml:space="preserve">Wellness</t>
  </si>
  <si>
    <t xml:space="preserve">Technology</t>
  </si>
  <si>
    <t xml:space="preserve">Philosophy</t>
  </si>
  <si>
    <t xml:space="preserve">Suma</t>
  </si>
  <si>
    <t xml:space="preserve">Altura de cada banda en px (valores negativos en Δ = más corta). Technology es más alta en móvil por el escenario único; ver hoja Pendientes.</t>
  </si>
  <si>
    <t xml:space="preserve">Antes</t>
  </si>
  <si>
    <t xml:space="preserve">Ahora (≥960 px)</t>
  </si>
  <si>
    <t xml:space="preserve">Ahora (móvil)</t>
  </si>
  <si>
    <t xml:space="preserve">Título arriba, imagen ancha 21:9, dos modelos 4:3 y CTA, todo en una columna.</t>
  </si>
  <si>
    <t xml:space="preserve">Título a la izquierda con CTA abajo; a la derecha imagen 2:1 y dos modelos 4:3.</t>
  </si>
  <si>
    <t xml:space="preserve">Imagen 3:2; modelos en dos columnas (1:1).</t>
  </si>
  <si>
    <t xml:space="preserve">Imagen ancha 21:9, pilares y secundaria flotando a la derecha con la mitad izquierda vacía.</t>
  </si>
  <si>
    <t xml:space="preserve">Espejo de Vision: imagen 4:5 a la izquierda; título, pilares, imagen secundaria 4:3 y CTA a la derecha.</t>
  </si>
  <si>
    <t xml:space="preserve">Imagen 3:2; secundaria 16:10.</t>
  </si>
  <si>
    <t xml:space="preserve">Tres tarjetas cuadradas iguales + tres columnas de etiquetas en mayúsculas (aspecto de dashboard).</t>
  </si>
  <si>
    <t xml:space="preserve">Un escenario 5:2 con leyenda (Vision / IGO App / Wellness) + secuencia editorial Hardware → Intelligence → Experience en filas con líneas finas.</t>
  </si>
  <si>
    <t xml:space="preserve">Escenario 3:2; filas apiladas.</t>
  </si>
  <si>
    <t xml:space="preserve">Imagen 4:5 antes del título en móvil.</t>
  </si>
  <si>
    <t xml:space="preserve">Imagen a la izquierda (4:5), texto a la derecha; el texto va primero en el HTML.</t>
  </si>
  <si>
    <t xml:space="preserve">Texto primero, imagen 4:3.</t>
  </si>
  <si>
    <t xml:space="preserve">Todas</t>
  </si>
  <si>
    <t xml:space="preserve">Alturas mínimas de 80–110 vh; espaciado hasta 144 px por banda.</t>
  </si>
  <si>
    <t xml:space="preserve">Sin min-height (salvo hero); espaciado clamp(3.5rem, 7vw, 6.5rem).</t>
  </si>
  <si>
    <t xml:space="preserve">Igual.</t>
  </si>
  <si>
    <t xml:space="preserve">Tema</t>
  </si>
  <si>
    <t xml:space="preserve">Decisión / siguiente paso</t>
  </si>
  <si>
    <t xml:space="preserve">Technology en móvil</t>
  </si>
  <si>
    <t xml:space="preserve">Mide ~1.010 px (antes ~880) porque el escenario único es más alto que las tres miniaturas.</t>
  </si>
  <si>
    <t xml:space="preserve">Reducir el escenario o las filas si se quiere acortar.</t>
  </si>
  <si>
    <t xml:space="preserve">Tablet 768–959 px</t>
  </si>
  <si>
    <t xml:space="preserve">Vision y Wellness siguen apiladas (1.000–1.330 px); las dos columnas empiezan en 960 px.</t>
  </si>
  <si>
    <t xml:space="preserve">Decidir si el punto de cambio debe bajar a 768 px.</t>
  </si>
  <si>
    <t xml:space="preserve">Navegadores y dispositivos</t>
  </si>
  <si>
    <t xml:space="preserve">Solo Chromium en Linux; sin Safari/iOS, Firefox ni táctil real.</t>
  </si>
  <si>
    <t xml:space="preserve">Probar antes de publicar.</t>
  </si>
  <si>
    <t xml:space="preserve">Componentes compartidos</t>
  </si>
  <si>
    <t xml:space="preserve">No ha sido necesario proponer cambios.</t>
  </si>
  <si>
    <t xml:space="preserve">Colisión con Grok</t>
  </si>
  <si>
    <t xml:space="preserve">index.html cambió durante la sesión (nav multipágina). Se releyó y se parcheó solo el bloque 2–5.</t>
  </si>
  <si>
    <t xml:space="preserve">Revisar el diff de git antes de integrar.</t>
  </si>
  <si>
    <t xml:space="preserve">Copia de seguridad</t>
  </si>
  <si>
    <t xml:space="preserve">Originales de index.html e igo.css guardados en el espacio de trabajo de Claude.</t>
  </si>
  <si>
    <t xml:space="preserve">Revertir con git si hace falta.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</si>
</sst>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1B2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41B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31.5" hidden="false" customHeight="true" outlineLevel="0" collapsed="false">
      <c r="A3" s="3" t="s">
        <v>1</v>
      </c>
      <c r="B3" s="4" t="s">
        <v>2</v>
      </c>
    </row>
    <row r="4" customFormat="false" ht="31.5" hidden="false" customHeight="true" outlineLevel="0" collapsed="false">
      <c r="A4" s="3" t="s">
        <v>3</v>
      </c>
      <c r="B4" s="4" t="s">
        <v>4</v>
      </c>
    </row>
    <row r="5" customFormat="false" ht="31.5" hidden="false" customHeight="true" outlineLevel="0" collapsed="false">
      <c r="A5" s="3" t="s">
        <v>5</v>
      </c>
      <c r="B5" s="4" t="s">
        <v>6</v>
      </c>
    </row>
    <row r="6" customFormat="false" ht="31.5" hidden="false" customHeight="true" outlineLevel="0" collapsed="false">
      <c r="A6" s="3" t="s">
        <v>7</v>
      </c>
      <c r="B6" s="4" t="s">
        <v>8</v>
      </c>
    </row>
    <row r="7" customFormat="false" ht="31.5" hidden="false" customHeight="true" outlineLevel="0" collapsed="false">
      <c r="A7" s="3" t="s">
        <v>9</v>
      </c>
      <c r="B7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9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5" t="s">
        <v>11</v>
      </c>
      <c r="B1" s="5" t="s">
        <v>12</v>
      </c>
      <c r="C1" s="5" t="s">
        <v>13</v>
      </c>
      <c r="D1" s="5" t="s">
        <v>14</v>
      </c>
    </row>
    <row r="2" customFormat="false" ht="15" hidden="false" customHeight="false" outlineLevel="0" collapsed="false">
      <c r="A2" s="6" t="s">
        <v>15</v>
      </c>
      <c r="B2" s="6" t="s">
        <v>16</v>
      </c>
      <c r="C2" s="6" t="s">
        <v>17</v>
      </c>
      <c r="D2" s="6" t="s">
        <v>18</v>
      </c>
    </row>
    <row r="3" customFormat="false" ht="1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18</v>
      </c>
    </row>
    <row r="4" customFormat="false" ht="15" hidden="false" customHeight="false" outlineLevel="0" collapsed="false">
      <c r="A4" s="6" t="s">
        <v>22</v>
      </c>
      <c r="B4" s="6" t="s">
        <v>23</v>
      </c>
      <c r="C4" s="6" t="s">
        <v>24</v>
      </c>
      <c r="D4" s="6" t="s">
        <v>25</v>
      </c>
    </row>
    <row r="5" customFormat="false" ht="15" hidden="false" customHeight="false" outlineLevel="0" collapsed="false">
      <c r="A5" s="6" t="s">
        <v>26</v>
      </c>
      <c r="B5" s="6" t="s">
        <v>23</v>
      </c>
      <c r="C5" s="6" t="s">
        <v>27</v>
      </c>
      <c r="D5" s="6" t="s">
        <v>25</v>
      </c>
    </row>
    <row r="6" customFormat="false" ht="15" hidden="false" customHeight="false" outlineLevel="0" collapsed="false">
      <c r="A6" s="6" t="s">
        <v>28</v>
      </c>
      <c r="B6" s="6" t="s">
        <v>23</v>
      </c>
      <c r="C6" s="6" t="s">
        <v>29</v>
      </c>
      <c r="D6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6" min="3" style="0" width="12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</row>
    <row r="2" customFormat="false" ht="15" hidden="false" customHeight="false" outlineLevel="0" collapsed="false">
      <c r="A2" s="7" t="n">
        <v>360</v>
      </c>
      <c r="B2" s="7" t="n">
        <v>740</v>
      </c>
      <c r="C2" s="8" t="n">
        <v>5061</v>
      </c>
      <c r="D2" s="8" t="n">
        <v>4370</v>
      </c>
      <c r="E2" s="9" t="n">
        <f aca="false">C2-D2</f>
        <v>691</v>
      </c>
      <c r="F2" s="10" t="n">
        <f aca="false">E2/C2</f>
        <v>0.136534281762498</v>
      </c>
      <c r="G2" s="11" t="n">
        <f aca="false">C2/B2</f>
        <v>6.83918918918919</v>
      </c>
      <c r="H2" s="11" t="n">
        <f aca="false">D2/B2</f>
        <v>5.90540540540541</v>
      </c>
    </row>
    <row r="3" customFormat="false" ht="15" hidden="false" customHeight="false" outlineLevel="0" collapsed="false">
      <c r="A3" s="7" t="n">
        <v>390</v>
      </c>
      <c r="B3" s="7" t="n">
        <v>844</v>
      </c>
      <c r="C3" s="8" t="n">
        <v>5310</v>
      </c>
      <c r="D3" s="8" t="n">
        <v>4575</v>
      </c>
      <c r="E3" s="9" t="n">
        <f aca="false">C3-D3</f>
        <v>735</v>
      </c>
      <c r="F3" s="10" t="n">
        <f aca="false">E3/C3</f>
        <v>0.138418079096045</v>
      </c>
      <c r="G3" s="11" t="n">
        <f aca="false">C3/B3</f>
        <v>6.2914691943128</v>
      </c>
      <c r="H3" s="11" t="n">
        <f aca="false">D3/B3</f>
        <v>5.42061611374408</v>
      </c>
    </row>
    <row r="4" customFormat="false" ht="15" hidden="false" customHeight="false" outlineLevel="0" collapsed="false">
      <c r="A4" s="7" t="n">
        <v>768</v>
      </c>
      <c r="B4" s="7" t="n">
        <v>1024</v>
      </c>
      <c r="C4" s="8" t="n">
        <v>5539</v>
      </c>
      <c r="D4" s="8" t="n">
        <v>4968</v>
      </c>
      <c r="E4" s="9" t="n">
        <f aca="false">C4-D4</f>
        <v>571</v>
      </c>
      <c r="F4" s="10" t="n">
        <f aca="false">E4/C4</f>
        <v>0.10308719985557</v>
      </c>
      <c r="G4" s="11" t="n">
        <f aca="false">C4/B4</f>
        <v>5.4091796875</v>
      </c>
      <c r="H4" s="11" t="n">
        <f aca="false">D4/B4</f>
        <v>4.8515625</v>
      </c>
    </row>
    <row r="5" customFormat="false" ht="15" hidden="false" customHeight="false" outlineLevel="0" collapsed="false">
      <c r="A5" s="7" t="n">
        <v>960</v>
      </c>
      <c r="B5" s="7" t="n">
        <v>800</v>
      </c>
      <c r="C5" s="8" t="n">
        <v>5325</v>
      </c>
      <c r="D5" s="8" t="n">
        <v>4213</v>
      </c>
      <c r="E5" s="9" t="n">
        <f aca="false">C5-D5</f>
        <v>1112</v>
      </c>
      <c r="F5" s="10" t="n">
        <f aca="false">E5/C5</f>
        <v>0.208826291079812</v>
      </c>
      <c r="G5" s="11" t="n">
        <f aca="false">C5/B5</f>
        <v>6.65625</v>
      </c>
      <c r="H5" s="11" t="n">
        <f aca="false">D5/B5</f>
        <v>5.26625</v>
      </c>
    </row>
    <row r="6" customFormat="false" ht="15" hidden="false" customHeight="false" outlineLevel="0" collapsed="false">
      <c r="A6" s="7" t="n">
        <v>1280</v>
      </c>
      <c r="B6" s="7" t="n">
        <v>800</v>
      </c>
      <c r="C6" s="8" t="n">
        <v>6381</v>
      </c>
      <c r="D6" s="8" t="n">
        <v>4867</v>
      </c>
      <c r="E6" s="9" t="n">
        <f aca="false">C6-D6</f>
        <v>1514</v>
      </c>
      <c r="F6" s="10" t="n">
        <f aca="false">E6/C6</f>
        <v>0.237266886068014</v>
      </c>
      <c r="G6" s="11" t="n">
        <f aca="false">C6/B6</f>
        <v>7.97625</v>
      </c>
      <c r="H6" s="11" t="n">
        <f aca="false">D6/B6</f>
        <v>6.08375</v>
      </c>
    </row>
    <row r="7" customFormat="false" ht="15" hidden="false" customHeight="false" outlineLevel="0" collapsed="false">
      <c r="A7" s="7" t="n">
        <v>1440</v>
      </c>
      <c r="B7" s="7" t="n">
        <v>900</v>
      </c>
      <c r="C7" s="8" t="n">
        <v>6634</v>
      </c>
      <c r="D7" s="8" t="n">
        <v>5056</v>
      </c>
      <c r="E7" s="9" t="n">
        <f aca="false">C7-D7</f>
        <v>1578</v>
      </c>
      <c r="F7" s="10" t="n">
        <f aca="false">E7/C7</f>
        <v>0.237865541151643</v>
      </c>
      <c r="G7" s="11" t="n">
        <f aca="false">C7/B7</f>
        <v>7.37111111111111</v>
      </c>
      <c r="H7" s="11" t="n">
        <f aca="false">D7/B7</f>
        <v>5.61777777777778</v>
      </c>
    </row>
    <row r="8" customFormat="false" ht="15" hidden="false" customHeight="false" outlineLevel="0" collapsed="false">
      <c r="A8" s="7" t="n">
        <v>1920</v>
      </c>
      <c r="B8" s="7" t="n">
        <v>1080</v>
      </c>
      <c r="C8" s="8" t="n">
        <v>6809</v>
      </c>
      <c r="D8" s="8" t="n">
        <v>5259</v>
      </c>
      <c r="E8" s="9" t="n">
        <f aca="false">C8-D8</f>
        <v>1550</v>
      </c>
      <c r="F8" s="10" t="n">
        <f aca="false">E8/C8</f>
        <v>0.227639888383022</v>
      </c>
      <c r="G8" s="11" t="n">
        <f aca="false">C8/B8</f>
        <v>6.30462962962963</v>
      </c>
      <c r="H8" s="11" t="n">
        <f aca="false">D8/B8</f>
        <v>4.86944444444444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A10" s="3" t="s">
        <v>38</v>
      </c>
      <c r="B10" s="2"/>
      <c r="C10" s="2"/>
      <c r="D10" s="2"/>
      <c r="E10" s="2"/>
      <c r="F10" s="12" t="n">
        <f aca="false">AVERAGE(F2:F8)</f>
        <v>0.184234023913801</v>
      </c>
      <c r="G10" s="2"/>
      <c r="H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13" t="s">
        <v>39</v>
      </c>
      <c r="B12" s="2"/>
      <c r="C12" s="2"/>
      <c r="D12" s="2"/>
      <c r="E12" s="2"/>
      <c r="F12" s="2"/>
      <c r="G12" s="2"/>
      <c r="H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</row>
    <row r="2" customFormat="false" ht="15" hidden="false" customHeight="false" outlineLevel="0" collapsed="false">
      <c r="A2" s="6" t="s">
        <v>47</v>
      </c>
      <c r="B2" s="7" t="n">
        <v>1612</v>
      </c>
      <c r="C2" s="7" t="n">
        <v>906</v>
      </c>
      <c r="D2" s="6" t="n">
        <f aca="false">C2-B2</f>
        <v>-706</v>
      </c>
      <c r="E2" s="7" t="n">
        <v>1397</v>
      </c>
      <c r="F2" s="7" t="n">
        <v>877</v>
      </c>
      <c r="G2" s="6" t="n">
        <f aca="false">F2-E2</f>
        <v>-520</v>
      </c>
    </row>
    <row r="3" customFormat="false" ht="15" hidden="false" customHeight="false" outlineLevel="0" collapsed="false">
      <c r="A3" s="6" t="s">
        <v>48</v>
      </c>
      <c r="B3" s="7" t="n">
        <v>1710</v>
      </c>
      <c r="C3" s="7" t="n">
        <v>958</v>
      </c>
      <c r="D3" s="6" t="n">
        <f aca="false">C3-B3</f>
        <v>-752</v>
      </c>
      <c r="E3" s="7" t="n">
        <v>1061</v>
      </c>
      <c r="F3" s="7" t="n">
        <v>915</v>
      </c>
      <c r="G3" s="6" t="n">
        <f aca="false">F3-E3</f>
        <v>-146</v>
      </c>
    </row>
    <row r="4" customFormat="false" ht="15" hidden="false" customHeight="false" outlineLevel="0" collapsed="false">
      <c r="A4" s="6" t="s">
        <v>49</v>
      </c>
      <c r="B4" s="7" t="n">
        <v>1154</v>
      </c>
      <c r="C4" s="7" t="n">
        <v>1212</v>
      </c>
      <c r="D4" s="6" t="n">
        <f aca="false">C4-B4</f>
        <v>58</v>
      </c>
      <c r="E4" s="7" t="n">
        <v>880</v>
      </c>
      <c r="F4" s="7" t="n">
        <v>1011</v>
      </c>
      <c r="G4" s="6" t="n">
        <f aca="false">F4-E4</f>
        <v>131</v>
      </c>
    </row>
    <row r="5" customFormat="false" ht="15" hidden="false" customHeight="false" outlineLevel="0" collapsed="false">
      <c r="A5" s="6" t="s">
        <v>50</v>
      </c>
      <c r="B5" s="7" t="n">
        <v>927</v>
      </c>
      <c r="C5" s="7" t="n">
        <v>813</v>
      </c>
      <c r="D5" s="6" t="n">
        <f aca="false">C5-B5</f>
        <v>-114</v>
      </c>
      <c r="E5" s="7" t="n">
        <v>846</v>
      </c>
      <c r="F5" s="7" t="n">
        <v>604</v>
      </c>
      <c r="G5" s="6" t="n">
        <f aca="false">F5-E5</f>
        <v>-242</v>
      </c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3" t="s">
        <v>51</v>
      </c>
      <c r="B7" s="3" t="n">
        <f aca="false">SUM(B2:B5)</f>
        <v>5403</v>
      </c>
      <c r="C7" s="3" t="n">
        <f aca="false">SUM(C2:C5)</f>
        <v>3889</v>
      </c>
      <c r="D7" s="3" t="n">
        <f aca="false">SUM(D2:D5)</f>
        <v>-1514</v>
      </c>
      <c r="E7" s="3" t="n">
        <f aca="false">SUM(E2:E5)</f>
        <v>4184</v>
      </c>
      <c r="F7" s="3" t="n">
        <f aca="false">SUM(F2:F5)</f>
        <v>3407</v>
      </c>
      <c r="G7" s="3" t="n">
        <f aca="false">SUM(G2:G5)</f>
        <v>-777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13" t="s">
        <v>52</v>
      </c>
      <c r="B9" s="2"/>
      <c r="C9" s="2"/>
      <c r="D9" s="2"/>
      <c r="E9" s="2"/>
      <c r="F9" s="2"/>
      <c r="G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6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5" t="s">
        <v>40</v>
      </c>
      <c r="B1" s="5" t="s">
        <v>53</v>
      </c>
      <c r="C1" s="5" t="s">
        <v>54</v>
      </c>
      <c r="D1" s="5" t="s">
        <v>55</v>
      </c>
    </row>
    <row r="2" customFormat="false" ht="23.85" hidden="false" customHeight="false" outlineLevel="0" collapsed="false">
      <c r="A2" s="6" t="s">
        <v>47</v>
      </c>
      <c r="B2" s="6" t="s">
        <v>56</v>
      </c>
      <c r="C2" s="6" t="s">
        <v>57</v>
      </c>
      <c r="D2" s="6" t="s">
        <v>58</v>
      </c>
    </row>
    <row r="3" customFormat="false" ht="23.85" hidden="false" customHeight="false" outlineLevel="0" collapsed="false">
      <c r="A3" s="6" t="s">
        <v>48</v>
      </c>
      <c r="B3" s="6" t="s">
        <v>59</v>
      </c>
      <c r="C3" s="6" t="s">
        <v>60</v>
      </c>
      <c r="D3" s="6" t="s">
        <v>61</v>
      </c>
    </row>
    <row r="4" customFormat="false" ht="23.85" hidden="false" customHeight="false" outlineLevel="0" collapsed="false">
      <c r="A4" s="6" t="s">
        <v>49</v>
      </c>
      <c r="B4" s="6" t="s">
        <v>62</v>
      </c>
      <c r="C4" s="6" t="s">
        <v>63</v>
      </c>
      <c r="D4" s="6" t="s">
        <v>64</v>
      </c>
    </row>
    <row r="5" customFormat="false" ht="23.85" hidden="false" customHeight="false" outlineLevel="0" collapsed="false">
      <c r="A5" s="6" t="s">
        <v>50</v>
      </c>
      <c r="B5" s="6" t="s">
        <v>65</v>
      </c>
      <c r="C5" s="6" t="s">
        <v>66</v>
      </c>
      <c r="D5" s="6" t="s">
        <v>67</v>
      </c>
    </row>
    <row r="6" customFormat="false" ht="23.85" hidden="false" customHeight="false" outlineLevel="0" collapsed="false">
      <c r="A6" s="6" t="s">
        <v>68</v>
      </c>
      <c r="B6" s="6" t="s">
        <v>69</v>
      </c>
      <c r="C6" s="6" t="s">
        <v>70</v>
      </c>
      <c r="D6" s="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5" t="s">
        <v>72</v>
      </c>
      <c r="B1" s="5" t="s">
        <v>13</v>
      </c>
      <c r="C1" s="5" t="s">
        <v>73</v>
      </c>
    </row>
    <row r="2" customFormat="false" ht="15" hidden="false" customHeight="false" outlineLevel="0" collapsed="false">
      <c r="A2" s="6" t="s">
        <v>74</v>
      </c>
      <c r="B2" s="6" t="s">
        <v>75</v>
      </c>
      <c r="C2" s="6" t="s">
        <v>76</v>
      </c>
    </row>
    <row r="3" customFormat="false" ht="15" hidden="false" customHeight="false" outlineLevel="0" collapsed="false">
      <c r="A3" s="6" t="s">
        <v>77</v>
      </c>
      <c r="B3" s="6" t="s">
        <v>78</v>
      </c>
      <c r="C3" s="6" t="s">
        <v>79</v>
      </c>
    </row>
    <row r="4" customFormat="false" ht="15" hidden="false" customHeight="false" outlineLevel="0" collapsed="false">
      <c r="A4" s="6" t="s">
        <v>80</v>
      </c>
      <c r="B4" s="6" t="s">
        <v>81</v>
      </c>
      <c r="C4" s="6" t="s">
        <v>82</v>
      </c>
    </row>
    <row r="5" customFormat="false" ht="15" hidden="false" customHeight="false" outlineLevel="0" collapsed="false">
      <c r="A5" s="6" t="s">
        <v>83</v>
      </c>
      <c r="B5" s="6" t="s">
        <v>84</v>
      </c>
      <c r="C5" s="6" t="s">
        <v>25</v>
      </c>
    </row>
    <row r="6" customFormat="false" ht="15" hidden="false" customHeight="false" outlineLevel="0" collapsed="false">
      <c r="A6" s="6" t="s">
        <v>85</v>
      </c>
      <c r="B6" s="6" t="s">
        <v>86</v>
      </c>
      <c r="C6" s="6" t="s">
        <v>87</v>
      </c>
    </row>
    <row r="7" customFormat="false" ht="15" hidden="false" customHeight="false" outlineLevel="0" collapsed="false">
      <c r="A7" s="6" t="s">
        <v>88</v>
      </c>
      <c r="B7" s="6" t="s">
        <v>89</v>
      </c>
      <c r="C7" s="6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2026-10-12T18:33:16Z</dcterms:created>
  <dc:creator>openpyxl</dc:creator>
  <dc:description/>
  <dc:language>en-US</dc:language>
  <cp:lastModifiedBy/>
  <dcterms:modified xsi:type="dcterms:W3CDTF">2026-10-12T18:33:16Z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